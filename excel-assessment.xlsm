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user\Desktop\Mapup\MapUp-Data-Assessment-F-main\"/>
    </mc:Choice>
  </mc:AlternateContent>
  <bookViews>
    <workbookView xWindow="0" yWindow="495" windowWidth="29400" windowHeight="1630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1" l="1"/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  <c r="D22" i="19"/>
  <c r="D13" i="19"/>
  <c r="D14" i="19"/>
  <c r="D15" i="19"/>
  <c r="D16" i="19"/>
  <c r="D17" i="19"/>
  <c r="D18" i="19"/>
  <c r="D19" i="19"/>
  <c r="D20" i="19"/>
  <c r="D21" i="19"/>
  <c r="D12" i="19"/>
  <c r="C28" i="18"/>
  <c r="D28" i="18"/>
  <c r="E28" i="18"/>
  <c r="F28" i="18"/>
  <c r="C29" i="18"/>
  <c r="D29" i="18"/>
  <c r="E29" i="18"/>
  <c r="F29" i="18"/>
  <c r="C30" i="18"/>
  <c r="D30" i="18"/>
  <c r="E30" i="18"/>
  <c r="F30" i="18"/>
  <c r="B29" i="18"/>
  <c r="B30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<sst xmlns="http://schemas.openxmlformats.org/spreadsheetml/2006/main" count="406" uniqueCount="183">
  <si>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</si>
  <si>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</si>
  <si>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</si>
  <si>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</si>
  <si>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</si>
  <si>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</si>
  <si>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</si>
  <si>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</si>
  <si>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</si>
  <si>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</si>
  <si>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</si>
  <si>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</si>
  <si>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</si>
  <si>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</si>
  <si>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</si>
  <si>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</si>
  <si>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</si>
  <si>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</si>
  <si>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</si>
  <si>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</si>
  <si>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</si>
  <si>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</si>
  <si>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</si>
  <si>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</si>
  <si>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</si>
  <si>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</si>
  <si>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</si>
  <si>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</si>
  <si>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</si>
  <si>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</si>
  <si>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</si>
  <si>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</si>
  <si>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</si>
  <si>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</si>
  <si>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</si>
  <si>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</si>
  <si>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</si>
  <si>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</si>
  <si>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</si>
  <si>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</si>
  <si>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</si>
  <si>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</si>
  <si>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</si>
  <si>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</si>
  <si>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</si>
  <si>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</si>
  <si>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</si>
  <si>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</si>
  <si>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</si>
  <si>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</si>
  <si>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</si>
  <si>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</si>
  <si>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</si>
  <si>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</si>
  <si>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</si>
  <si>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</si>
  <si>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</si>
  <si>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</si>
  <si>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</si>
  <si>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</si>
  <si>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</si>
  <si>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</si>
  <si>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</si>
  <si>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</si>
  <si>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</si>
  <si>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</si>
  <si>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</si>
  <si>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</si>
  <si>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</si>
  <si>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</si>
  <si>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</si>
  <si>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</si>
  <si>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</si>
  <si>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</si>
  <si>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</si>
  <si>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</si>
  <si>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</si>
  <si>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</si>
  <si>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</si>
  <si>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</si>
  <si>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</si>
  <si>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</si>
  <si>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</si>
  <si>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</si>
  <si>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</si>
  <si>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</si>
  <si>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</si>
  <si>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</si>
  <si>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</si>
  <si>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</si>
  <si>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</si>
  <si>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</si>
  <si>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</si>
  <si>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</si>
  <si>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</si>
  <si>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</si>
  <si>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</si>
  <si>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</si>
  <si>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</si>
  <si>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</si>
  <si>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</si>
  <si>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</si>
  <si>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</si>
  <si>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</si>
  <si>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</si>
  <si>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</si>
  <si>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</si>
  <si>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</si>
  <si>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</si>
  <si>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</si>
  <si>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</si>
  <si>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</si>
  <si>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</si>
  <si>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</si>
  <si>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</si>
  <si>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</si>
  <si>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</si>
  <si>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</si>
  <si>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</si>
  <si>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</si>
  <si>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</si>
  <si>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</si>
  <si>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</si>
  <si>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</si>
  <si>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</si>
  <si>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</si>
  <si>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</si>
  <si>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</si>
  <si>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</si>
  <si>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</si>
  <si>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</si>
  <si>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</si>
  <si>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</si>
  <si>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</si>
  <si>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</si>
  <si>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</si>
  <si>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</si>
  <si>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</si>
  <si>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</si>
  <si>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</si>
  <si>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</si>
  <si>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</si>
  <si>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</si>
  <si>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</si>
  <si>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</si>
  <si>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</si>
  <si>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</si>
  <si>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</si>
  <si>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</si>
  <si>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</si>
  <si>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</si>
  <si>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</si>
  <si>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</si>
  <si>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</si>
  <si>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</si>
  <si>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</si>
  <si>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</si>
  <si>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</si>
  <si>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</si>
  <si>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</si>
  <si>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</si>
  <si>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</si>
  <si>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</si>
  <si>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</si>
  <si>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</si>
  <si>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</si>
  <si>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</si>
  <si>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</si>
  <si>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</si>
  <si>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</si>
  <si>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</si>
  <si>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</si>
  <si>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</si>
  <si>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</si>
  <si>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</si>
  <si>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</si>
  <si>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</si>
  <si>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Delimitor</t>
  </si>
  <si>
    <t xml:space="preserve">First all the vales that you want to split and then click data on ribbon tab &gt;&gt; text to columns we will get a popup click on delimitor &gt;&gt; next&gt;&gt; cilck on others mark " - " on destination tab enter $A$19 &gt;&gt; Finish. </t>
  </si>
  <si>
    <t>IFERROR formula.</t>
  </si>
  <si>
    <t>Here at sales column we can see #N/A where we wanted to be replaced with 20 so, using formula  =IFERROR(value, value if error) where in the place of error 2o is replaced i.e. =IFERROR(C12,20).</t>
  </si>
  <si>
    <t>INDEX($A$9:$J$18, MATCH(VLOOKUP(A23, $M$9:$N$18, 2, 0), $A$9:$A$18, 0),MATCH(VLOOKUP(B23, $M$9:$N$18, 2, 0), $A$9:$J$9, 0))</t>
  </si>
  <si>
    <t>VLOOKUP(A23, $M$9:$N$18, 2, 0) This function looks for the value in cell A23 within the range $M$9 to $N$18.It returns the corresponding value from the second column (column N) in the same row where it finds the match.This value is the first input for the outer MATCH function.VLOOKUP(B23, $M$9:$N$18, 2, 0) Similar to the first VLOOKUP, this function looks for the value in cell B23 within the range $M$9 to $N$18.It returns the corresponding value from the second column (column N) in the same row where it finds the match.This value is the second input for the outer MATCH function.MATCH(..., $A$9:$A$18, 0) This function looks for the first VLOOKUP result (from step 1) within the range $A$9 to $A$18.It returns the relative position of that value in the array $A$9 to $A$18.This result is the row number in the range $A$9 to $J$18 that contains the desired value.MATCH(..., $A$9:$J$9, 0) This function looks for the second VLOOKUP result (from step 2) within the range $A$9 to $J$9.It returns the relative position of that value in the array $A$9 to $J$9.This result is the column number in the range $A$9 to $J$18 that contains the desired value.INDEX($A$9:$J$18, ..., ...)This function returns the value at the intersection of the row and column specified by the two MATCH functions.The range $A$9:$J$18 is the array from which the value will be retrieved.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</si>
</sst>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dd/mm/yyyy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0" borderId="0" xfId="0" applyFont="1" applyAlignment="1">
      <alignment horizontal="right"/>
    </xf>
    <xf numFmtId="0" fontId="12" fillId="0" borderId="0" xfId="1" applyFont="1" applyAlignment="1">
      <alignment horizontal="center"/>
    </xf>
    <xf numFmtId="0" fontId="18" fillId="0" borderId="0" xfId="0" applyFont="1" applyAlignment="1">
      <alignment horizontal="center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7327</xdr:colOff>
      <xdr:row>3</xdr:row>
      <xdr:rowOff>168519</xdr:rowOff>
    </xdr:from>
    <xdr:ext cx="1575289" cy="263770"/>
    <xdr:sp macro="" textlink="">
      <xdr:nvSpPr>
        <xdr:cNvPr id="2" name="TextBox 1"/>
        <xdr:cNvSpPr txBox="1"/>
      </xdr:nvSpPr>
      <xdr:spPr>
        <a:xfrm>
          <a:off x="4249615" y="740019"/>
          <a:ext cx="1575289" cy="26377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=SUMIF(H2:H40, "&gt;20")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="145" zoomScaleNormal="145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2"/>
  <sheetViews>
    <sheetView topLeftCell="E1" zoomScaleNormal="100" workbookViewId="0">
      <pane ySplit="1" topLeftCell="A2" activePane="bottomLeft" state="frozen"/>
      <selection activeCell="D1" sqref="D1"/>
      <selection pane="bottomLeft" activeCell="H46" sqref="H46:H47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0.6640625" style="1" bestFit="1" customWidth="1"/>
    <col min="4" max="4" width="11.83203125" style="23" bestFit="1" customWidth="1"/>
    <col min="5" max="5" width="10" style="1" bestFit="1" customWidth="1"/>
    <col min="6" max="6" width="11.16406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5" width="12.6640625" style="1" bestFit="1" customWidth="1"/>
    <col min="26" max="16384" width="9" style="1"/>
  </cols>
  <sheetData>
    <row r="1" spans="1:25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5" x14ac:dyDescent="0.25">
      <c r="A2" s="7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6">
        <v>45051</v>
      </c>
      <c r="Y2" s="1" t="str">
        <f>TEXT(X2,"yyyy-mm-dd")</f>
        <v>2023-05-05</v>
      </c>
    </row>
    <row r="3" spans="1:25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6">
        <v>45048</v>
      </c>
      <c r="Y3" s="1" t="str">
        <f t="shared" ref="Y3:Y40" si="0">TEXT(X3,"yyyy-mm-dd")</f>
        <v>2023-05-02</v>
      </c>
    </row>
    <row r="4" spans="1:25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6">
        <v>45055</v>
      </c>
      <c r="Y4" s="1" t="str">
        <f t="shared" si="0"/>
        <v>2023-05-09</v>
      </c>
    </row>
    <row r="5" spans="1:25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6">
        <v>45059</v>
      </c>
      <c r="Y5" s="1" t="str">
        <f t="shared" si="0"/>
        <v>2023-05-13</v>
      </c>
    </row>
    <row r="6" spans="1:25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6">
        <v>45076</v>
      </c>
      <c r="Y6" s="1" t="str">
        <f t="shared" si="0"/>
        <v>2023-05-30</v>
      </c>
    </row>
    <row r="7" spans="1:25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6">
        <v>45057</v>
      </c>
      <c r="Y7" s="1" t="str">
        <f t="shared" si="0"/>
        <v>2023-05-11</v>
      </c>
    </row>
    <row r="8" spans="1:25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6">
        <v>45052</v>
      </c>
      <c r="Y8" s="1" t="str">
        <f t="shared" si="0"/>
        <v>2023-05-06</v>
      </c>
    </row>
    <row r="9" spans="1:25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6">
        <v>45098</v>
      </c>
      <c r="Y9" s="1" t="str">
        <f t="shared" si="0"/>
        <v>2023-06-21</v>
      </c>
    </row>
    <row r="10" spans="1:25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6">
        <v>45092</v>
      </c>
      <c r="Y10" s="1" t="str">
        <f t="shared" si="0"/>
        <v>2023-06-15</v>
      </c>
    </row>
    <row r="11" spans="1:25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6">
        <v>45104</v>
      </c>
      <c r="Y11" s="1" t="str">
        <f t="shared" si="0"/>
        <v>2023-06-27</v>
      </c>
    </row>
    <row r="12" spans="1:25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6">
        <v>45116</v>
      </c>
      <c r="Y12" s="1" t="str">
        <f t="shared" si="0"/>
        <v>2023-07-09</v>
      </c>
    </row>
    <row r="13" spans="1:25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6">
        <v>45110</v>
      </c>
      <c r="Y13" s="1" t="str">
        <f t="shared" si="0"/>
        <v>2023-07-03</v>
      </c>
    </row>
    <row r="14" spans="1:25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6">
        <v>45095</v>
      </c>
      <c r="Y14" s="1" t="str">
        <f t="shared" si="0"/>
        <v>2023-06-18</v>
      </c>
    </row>
    <row r="15" spans="1:25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6">
        <v>45113</v>
      </c>
      <c r="Y15" s="1" t="str">
        <f t="shared" si="0"/>
        <v>2023-07-06</v>
      </c>
    </row>
    <row r="16" spans="1:25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6">
        <v>45063</v>
      </c>
      <c r="Y16" s="1" t="str">
        <f t="shared" si="0"/>
        <v>2023-05-17</v>
      </c>
    </row>
    <row r="17" spans="1:25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6">
        <v>45071</v>
      </c>
      <c r="Y17" s="1" t="str">
        <f t="shared" si="0"/>
        <v>2023-05-25</v>
      </c>
    </row>
    <row r="18" spans="1:25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6">
        <v>45085</v>
      </c>
      <c r="Y18" s="1" t="str">
        <f t="shared" si="0"/>
        <v>2023-06-08</v>
      </c>
    </row>
    <row r="19" spans="1:25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6">
        <v>45099</v>
      </c>
      <c r="Y19" s="1" t="str">
        <f t="shared" si="0"/>
        <v>2023-06-22</v>
      </c>
    </row>
    <row r="20" spans="1:25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6">
        <v>45091</v>
      </c>
      <c r="Y20" s="1" t="str">
        <f t="shared" si="0"/>
        <v>2023-06-14</v>
      </c>
    </row>
    <row r="21" spans="1:25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6">
        <v>45079</v>
      </c>
      <c r="Y21" s="1" t="str">
        <f t="shared" si="0"/>
        <v>2023-06-02</v>
      </c>
    </row>
    <row r="22" spans="1:25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6">
        <v>45075</v>
      </c>
      <c r="Y22" s="1" t="str">
        <f t="shared" si="0"/>
        <v>2023-05-29</v>
      </c>
    </row>
    <row r="23" spans="1:25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6">
        <v>45110</v>
      </c>
      <c r="Y23" s="1" t="str">
        <f t="shared" si="0"/>
        <v>2023-07-03</v>
      </c>
    </row>
    <row r="24" spans="1:25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6">
        <v>45114</v>
      </c>
      <c r="Y24" s="1" t="str">
        <f t="shared" si="0"/>
        <v>2023-07-07</v>
      </c>
    </row>
    <row r="25" spans="1:25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6">
        <v>45118</v>
      </c>
      <c r="Y25" s="1" t="str">
        <f t="shared" si="0"/>
        <v>2023-07-11</v>
      </c>
    </row>
    <row r="26" spans="1:25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6">
        <v>45142</v>
      </c>
      <c r="Y26" s="1" t="str">
        <f t="shared" si="0"/>
        <v>2023-08-04</v>
      </c>
    </row>
    <row r="27" spans="1:25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6">
        <v>45146</v>
      </c>
      <c r="Y27" s="1" t="str">
        <f t="shared" si="0"/>
        <v>2023-08-08</v>
      </c>
    </row>
    <row r="28" spans="1:25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6">
        <v>45108</v>
      </c>
      <c r="Y28" s="1" t="str">
        <f t="shared" si="0"/>
        <v>2023-07-01</v>
      </c>
    </row>
    <row r="29" spans="1:25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6">
        <v>45153</v>
      </c>
      <c r="Y29" s="1" t="str">
        <f t="shared" si="0"/>
        <v>2023-08-15</v>
      </c>
    </row>
    <row r="30" spans="1:25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6">
        <v>45150</v>
      </c>
      <c r="Y30" s="1" t="str">
        <f t="shared" si="0"/>
        <v>2023-08-12</v>
      </c>
    </row>
    <row r="31" spans="1:25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6">
        <v>45157</v>
      </c>
      <c r="Y31" s="1" t="str">
        <f t="shared" si="0"/>
        <v>2023-08-19</v>
      </c>
    </row>
    <row r="32" spans="1:25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6">
        <v>45143</v>
      </c>
      <c r="Y32" s="1" t="str">
        <f t="shared" si="0"/>
        <v>2023-08-05</v>
      </c>
    </row>
    <row r="33" spans="1:25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6">
        <v>45166</v>
      </c>
      <c r="Y33" s="1" t="str">
        <f t="shared" si="0"/>
        <v>2023-08-28</v>
      </c>
    </row>
    <row r="34" spans="1:25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6">
        <v>45162</v>
      </c>
      <c r="Y34" s="1" t="str">
        <f t="shared" si="0"/>
        <v>2023-08-24</v>
      </c>
    </row>
    <row r="35" spans="1:25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6">
        <v>45160</v>
      </c>
      <c r="Y35" s="1" t="str">
        <f t="shared" si="0"/>
        <v>2023-08-22</v>
      </c>
    </row>
    <row r="36" spans="1:25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6">
        <v>45179</v>
      </c>
      <c r="Y36" s="1" t="str">
        <f t="shared" si="0"/>
        <v>2023-09-10</v>
      </c>
    </row>
    <row r="37" spans="1:25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6">
        <v>45157</v>
      </c>
      <c r="Y37" s="1" t="str">
        <f t="shared" si="0"/>
        <v>2023-08-19</v>
      </c>
    </row>
    <row r="38" spans="1:25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6">
        <v>45143</v>
      </c>
      <c r="Y38" s="1" t="str">
        <f t="shared" si="0"/>
        <v>2023-08-05</v>
      </c>
    </row>
    <row r="39" spans="1:25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6">
        <v>45166</v>
      </c>
      <c r="Y39" s="1" t="str">
        <f t="shared" si="0"/>
        <v>2023-08-28</v>
      </c>
    </row>
    <row r="40" spans="1:25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6">
        <v>45162</v>
      </c>
      <c r="Y40" s="1" t="str">
        <f t="shared" si="0"/>
        <v>2023-08-24</v>
      </c>
    </row>
    <row r="42" spans="1:25" x14ac:dyDescent="0.25">
      <c r="H42" s="1">
        <f>SUMIF(H2:H40,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G1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="130" zoomScaleNormal="130" workbookViewId="0">
      <selection activeCell="C10" sqref="C10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/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SUMIF(Dataset!$A:$A,Task_2!$A6,Dataset!G:G)</f>
        <v>2.7</v>
      </c>
      <c r="C6" s="11">
        <f>SUMIF(Dataset!$A:$A,Task_2!$A6,Dataset!N:N)</f>
        <v>7.6</v>
      </c>
      <c r="D6" s="11">
        <f>SUMIF(Dataset!$A:$A,Task_2!$A6,Dataset!R:R)</f>
        <v>4.2</v>
      </c>
      <c r="E6" s="11">
        <f>SUMIF(Dataset!$A:$A,Task_2!$A6,Dataset!T:T)</f>
        <v>8.9</v>
      </c>
      <c r="F6" s="11">
        <f>SUMIF(Dataset!$A:$A,Task_2!$A6,Dataset!V:V)</f>
        <v>4.2</v>
      </c>
    </row>
    <row r="7" spans="1:7" ht="15" x14ac:dyDescent="0.25">
      <c r="A7" s="7" t="s">
        <v>4</v>
      </c>
      <c r="B7" s="11">
        <f>SUMIF(Dataset!$A:$A,Task_2!$A7,Dataset!G:G)</f>
        <v>2.7</v>
      </c>
      <c r="C7" s="11">
        <f>SUMIF(Dataset!$A:$A,Task_2!$A7,Dataset!N:N)</f>
        <v>7.6</v>
      </c>
      <c r="D7" s="11">
        <f>SUMIF(Dataset!$A:$A,Task_2!$A7,Dataset!R:R)</f>
        <v>4.2</v>
      </c>
      <c r="E7" s="11">
        <f>SUMIF(Dataset!$A:$A,Task_2!$A7,Dataset!T:T)</f>
        <v>8.9</v>
      </c>
      <c r="F7" s="11">
        <f>SUMIF(Dataset!$A:$A,Task_2!$A7,Dataset!V:V)</f>
        <v>4.2</v>
      </c>
    </row>
    <row r="8" spans="1:7" ht="15" x14ac:dyDescent="0.25">
      <c r="A8" s="7" t="s">
        <v>7</v>
      </c>
      <c r="B8" s="11">
        <f>SUMIF(Dataset!$A:$A,Task_2!$A8,Dataset!G:G)</f>
        <v>3.6</v>
      </c>
      <c r="C8" s="11">
        <f>SUMIF(Dataset!$A:$A,Task_2!$A8,Dataset!N:N)</f>
        <v>11.1</v>
      </c>
      <c r="D8" s="11">
        <f>SUMIF(Dataset!$A:$A,Task_2!$A8,Dataset!R:R)</f>
        <v>5.8</v>
      </c>
      <c r="E8" s="11">
        <f>SUMIF(Dataset!$A:$A,Task_2!$A8,Dataset!T:T)</f>
        <v>12.2</v>
      </c>
      <c r="F8" s="11">
        <f>SUMIF(Dataset!$A:$A,Task_2!$A8,Dataset!V:V)</f>
        <v>5.8</v>
      </c>
    </row>
    <row r="9" spans="1:7" ht="15" x14ac:dyDescent="0.25">
      <c r="A9" s="7" t="s">
        <v>8</v>
      </c>
      <c r="B9" s="11">
        <f>SUMIF(Dataset!$A:$A,Task_2!$A9,Dataset!G:G)</f>
        <v>4.9000000000000004</v>
      </c>
      <c r="C9" s="11">
        <f>SUMIF(Dataset!$A:$A,Task_2!$A9,Dataset!N:N)</f>
        <v>13.3</v>
      </c>
      <c r="D9" s="11">
        <f>SUMIF(Dataset!$A:$A,Task_2!$A9,Dataset!R:R)</f>
        <v>8.1</v>
      </c>
      <c r="E9" s="11">
        <f>SUMIF(Dataset!$A:$A,Task_2!$A9,Dataset!T:T)</f>
        <v>17</v>
      </c>
      <c r="F9" s="11">
        <f>SUMIF(Dataset!$A:$A,Task_2!$A9,Dataset!V:V)</f>
        <v>8.1</v>
      </c>
    </row>
    <row r="10" spans="1:7" ht="15" x14ac:dyDescent="0.25">
      <c r="A10" s="7" t="s">
        <v>11</v>
      </c>
      <c r="B10" s="11">
        <f>SUMIF(Dataset!$A:$A,Task_2!$A10,Dataset!G:G)</f>
        <v>9.4</v>
      </c>
      <c r="C10" s="11">
        <f>SUMIF(Dataset!$A:$A,Task_2!$A10,Dataset!N:N)</f>
        <v>28.3</v>
      </c>
      <c r="D10" s="11">
        <f>SUMIF(Dataset!$A:$A,Task_2!$A10,Dataset!R:R)</f>
        <v>16.100000000000001</v>
      </c>
      <c r="E10" s="11">
        <f>SUMIF(Dataset!$A:$A,Task_2!$A10,Dataset!T:T)</f>
        <v>32.799999999999997</v>
      </c>
      <c r="F10" s="11">
        <f>SUMIF(Dataset!$A:$A,Task_2!$A10,Dataset!V:V)</f>
        <v>16.100000000000001</v>
      </c>
    </row>
    <row r="11" spans="1:7" ht="15" x14ac:dyDescent="0.25">
      <c r="A11" s="7" t="s">
        <v>12</v>
      </c>
      <c r="B11" s="11">
        <f>SUMIF(Dataset!$A:$A,Task_2!$A11,Dataset!G:G)</f>
        <v>11.6</v>
      </c>
      <c r="C11" s="11">
        <f>SUMIF(Dataset!$A:$A,Task_2!$A11,Dataset!N:N)</f>
        <v>35.200000000000003</v>
      </c>
      <c r="D11" s="11">
        <f>SUMIF(Dataset!$A:$A,Task_2!$A11,Dataset!R:R)</f>
        <v>21.3</v>
      </c>
      <c r="E11" s="11">
        <f>SUMIF(Dataset!$A:$A,Task_2!$A11,Dataset!T:T)</f>
        <v>43</v>
      </c>
      <c r="F11" s="11">
        <f>SUMIF(Dataset!$A:$A,Task_2!$A11,Dataset!V:V)</f>
        <v>21.3</v>
      </c>
    </row>
    <row r="12" spans="1:7" ht="15" x14ac:dyDescent="0.25">
      <c r="A12" s="7" t="s">
        <v>14</v>
      </c>
      <c r="B12" s="11">
        <f>SUMIF(Dataset!$A:$A,Task_2!$A12,Dataset!G:G)</f>
        <v>18.399999999999999</v>
      </c>
      <c r="C12" s="11">
        <f>SUMIF(Dataset!$A:$A,Task_2!$A12,Dataset!N:N)</f>
        <v>55.6</v>
      </c>
      <c r="D12" s="11">
        <f>SUMIF(Dataset!$A:$A,Task_2!$A12,Dataset!R:R)</f>
        <v>33.799999999999997</v>
      </c>
      <c r="E12" s="11">
        <f>SUMIF(Dataset!$A:$A,Task_2!$A12,Dataset!T:T)</f>
        <v>67.900000000000006</v>
      </c>
      <c r="F12" s="11">
        <f>SUMIF(Dataset!$A:$A,Task_2!$A12,Dataset!V:V)</f>
        <v>33.799999999999997</v>
      </c>
    </row>
    <row r="13" spans="1:7" ht="15" x14ac:dyDescent="0.25">
      <c r="A13" s="7" t="s">
        <v>15</v>
      </c>
      <c r="B13" s="11">
        <f>SUMIF(Dataset!$A:$A,Task_2!$A13,Dataset!G:G)</f>
        <v>0</v>
      </c>
      <c r="C13" s="11">
        <f>SUMIF(Dataset!$A:$A,Task_2!$A13,Dataset!N:N)</f>
        <v>0</v>
      </c>
      <c r="D13" s="11">
        <f>SUMIF(Dataset!$A:$A,Task_2!$A13,Dataset!R:R)</f>
        <v>0</v>
      </c>
      <c r="E13" s="11">
        <f>SUMIF(Dataset!$A:$A,Task_2!$A13,Dataset!T:T)</f>
        <v>0</v>
      </c>
      <c r="F13" s="11">
        <f>SUMIF(Dataset!$A:$A,Task_2!$A13,Dataset!V:V)</f>
        <v>0</v>
      </c>
    </row>
    <row r="14" spans="1:7" ht="15" x14ac:dyDescent="0.25">
      <c r="A14" s="7" t="s">
        <v>16</v>
      </c>
      <c r="B14" s="11">
        <f>SUMIF(Dataset!$A:$A,Task_2!$A14,Dataset!G:G)</f>
        <v>21.9</v>
      </c>
      <c r="C14" s="11">
        <f>SUMIF(Dataset!$A:$A,Task_2!$A14,Dataset!N:N)</f>
        <v>61.5</v>
      </c>
      <c r="D14" s="11">
        <f>SUMIF(Dataset!$A:$A,Task_2!$A14,Dataset!R:R)</f>
        <v>40.1</v>
      </c>
      <c r="E14" s="11">
        <f>SUMIF(Dataset!$A:$A,Task_2!$A14,Dataset!T:T)</f>
        <v>76.599999999999994</v>
      </c>
      <c r="F14" s="11">
        <f>SUMIF(Dataset!$A:$A,Task_2!$A14,Dataset!V:V)</f>
        <v>40.1</v>
      </c>
    </row>
    <row r="15" spans="1:7" ht="15" x14ac:dyDescent="0.25">
      <c r="A15" s="7" t="s">
        <v>18</v>
      </c>
      <c r="B15" s="11">
        <f>SUMIF(Dataset!$A:$A,Task_2!$A15,Dataset!G:G)</f>
        <v>26.8</v>
      </c>
      <c r="C15" s="11">
        <f>SUMIF(Dataset!$A:$A,Task_2!$A15,Dataset!N:N)</f>
        <v>79.599999999999994</v>
      </c>
      <c r="D15" s="11">
        <f>SUMIF(Dataset!$A:$A,Task_2!$A15,Dataset!R:R)</f>
        <v>47.9</v>
      </c>
      <c r="E15" s="11">
        <f>SUMIF(Dataset!$A:$A,Task_2!$A15,Dataset!T:T)</f>
        <v>96.8</v>
      </c>
      <c r="F15" s="11">
        <f>SUMIF(Dataset!$A:$A,Task_2!$A15,Dataset!V:V)</f>
        <v>47.9</v>
      </c>
    </row>
    <row r="16" spans="1:7" ht="15" x14ac:dyDescent="0.25">
      <c r="A16" s="7" t="s">
        <v>20</v>
      </c>
      <c r="B16" s="11">
        <f>SUMIF(Dataset!$A:$A,Task_2!$A16,Dataset!G:G)</f>
        <v>28.5</v>
      </c>
      <c r="C16" s="11">
        <f>SUMIF(Dataset!$A:$A,Task_2!$A16,Dataset!N:N)</f>
        <v>85.4</v>
      </c>
      <c r="D16" s="11">
        <f>SUMIF(Dataset!$A:$A,Task_2!$A16,Dataset!R:R)</f>
        <v>52.3</v>
      </c>
      <c r="E16" s="11">
        <f>SUMIF(Dataset!$A:$A,Task_2!$A16,Dataset!T:T)</f>
        <v>106.1</v>
      </c>
      <c r="F16" s="11">
        <f>SUMIF(Dataset!$A:$A,Task_2!$A16,Dataset!V:V)</f>
        <v>52.3</v>
      </c>
    </row>
    <row r="17" spans="1:6" ht="15" x14ac:dyDescent="0.25">
      <c r="A17" s="7" t="s">
        <v>22</v>
      </c>
      <c r="B17" s="11">
        <f>SUMIF(Dataset!$A:$A,Task_2!$A17,Dataset!G:G)</f>
        <v>30.7</v>
      </c>
      <c r="C17" s="11">
        <f>SUMIF(Dataset!$A:$A,Task_2!$A17,Dataset!N:N)</f>
        <v>92.1</v>
      </c>
      <c r="D17" s="11">
        <f>SUMIF(Dataset!$A:$A,Task_2!$A17,Dataset!R:R)</f>
        <v>57</v>
      </c>
      <c r="E17" s="11">
        <f>SUMIF(Dataset!$A:$A,Task_2!$A17,Dataset!T:T)</f>
        <v>115.1</v>
      </c>
      <c r="F17" s="11">
        <f>SUMIF(Dataset!$A:$A,Task_2!$A17,Dataset!V:V)</f>
        <v>57</v>
      </c>
    </row>
    <row r="18" spans="1:6" ht="15" x14ac:dyDescent="0.25">
      <c r="A18" s="7" t="s">
        <v>23</v>
      </c>
      <c r="B18" s="11">
        <f>SUMIF(Dataset!$A:$A,Task_2!$A18,Dataset!G:G)</f>
        <v>33.799999999999997</v>
      </c>
      <c r="C18" s="11">
        <f>SUMIF(Dataset!$A:$A,Task_2!$A18,Dataset!N:N)</f>
        <v>101.3</v>
      </c>
      <c r="D18" s="11">
        <f>SUMIF(Dataset!$A:$A,Task_2!$A18,Dataset!R:R)</f>
        <v>61.4</v>
      </c>
      <c r="E18" s="11">
        <f>SUMIF(Dataset!$A:$A,Task_2!$A18,Dataset!T:T)</f>
        <v>124.4</v>
      </c>
      <c r="F18" s="11">
        <f>SUMIF(Dataset!$A:$A,Task_2!$A18,Dataset!V:V)</f>
        <v>61.4</v>
      </c>
    </row>
    <row r="19" spans="1:6" ht="15" x14ac:dyDescent="0.25">
      <c r="A19" s="7" t="s">
        <v>24</v>
      </c>
      <c r="B19" s="11">
        <f>SUMIF(Dataset!$A:$A,Task_2!$A19,Dataset!G:G)</f>
        <v>34.700000000000003</v>
      </c>
      <c r="C19" s="11">
        <f>SUMIF(Dataset!$A:$A,Task_2!$A19,Dataset!N:N)</f>
        <v>106.1</v>
      </c>
      <c r="D19" s="11">
        <f>SUMIF(Dataset!$A:$A,Task_2!$A19,Dataset!R:R)</f>
        <v>63.6</v>
      </c>
      <c r="E19" s="11">
        <f>SUMIF(Dataset!$A:$A,Task_2!$A19,Dataset!T:T)</f>
        <v>128.6</v>
      </c>
      <c r="F19" s="11">
        <f>SUMIF(Dataset!$A:$A,Task_2!$A19,Dataset!V:V)</f>
        <v>63.6</v>
      </c>
    </row>
    <row r="20" spans="1:6" ht="15" x14ac:dyDescent="0.25">
      <c r="A20" s="7" t="s">
        <v>28</v>
      </c>
      <c r="B20" s="11">
        <f>SUMIF(Dataset!$A:$A,Task_2!$A20,Dataset!G:G)</f>
        <v>0</v>
      </c>
      <c r="C20" s="11">
        <f>SUMIF(Dataset!$A:$A,Task_2!$A20,Dataset!N:N)</f>
        <v>0</v>
      </c>
      <c r="D20" s="11">
        <f>SUMIF(Dataset!$A:$A,Task_2!$A20,Dataset!R:R)</f>
        <v>0</v>
      </c>
      <c r="E20" s="11">
        <f>SUMIF(Dataset!$A:$A,Task_2!$A20,Dataset!T:T)</f>
        <v>0</v>
      </c>
      <c r="F20" s="11">
        <f>SUMIF(Dataset!$A:$A,Task_2!$A20,Dataset!V:V)</f>
        <v>0</v>
      </c>
    </row>
    <row r="21" spans="1:6" ht="15" x14ac:dyDescent="0.25">
      <c r="A21" s="7" t="s">
        <v>57</v>
      </c>
      <c r="B21" s="11">
        <f>SUMIF(Dataset!$A:$A,Task_2!$A21,Dataset!G:G)</f>
        <v>41.3</v>
      </c>
      <c r="C21" s="11">
        <f>SUMIF(Dataset!$A:$A,Task_2!$A21,Dataset!N:N)</f>
        <v>124.4</v>
      </c>
      <c r="D21" s="11">
        <f>SUMIF(Dataset!$A:$A,Task_2!$A21,Dataset!R:R)</f>
        <v>75</v>
      </c>
      <c r="E21" s="11">
        <f>SUMIF(Dataset!$A:$A,Task_2!$A21,Dataset!T:T)</f>
        <v>151.5</v>
      </c>
      <c r="F21" s="11">
        <f>SUMIF(Dataset!$A:$A,Task_2!$A21,Dataset!V:V)</f>
        <v>75</v>
      </c>
    </row>
    <row r="22" spans="1:6" ht="15" x14ac:dyDescent="0.25">
      <c r="A22" s="7" t="s">
        <v>58</v>
      </c>
      <c r="B22" s="11">
        <f>SUMIF(Dataset!$A:$A,Task_2!$A22,Dataset!G:G)</f>
        <v>-1</v>
      </c>
      <c r="C22" s="11">
        <f>SUMIF(Dataset!$A:$A,Task_2!$A22,Dataset!N:N)</f>
        <v>-1</v>
      </c>
      <c r="D22" s="11">
        <f>SUMIF(Dataset!$A:$A,Task_2!$A22,Dataset!R:R)</f>
        <v>-1</v>
      </c>
      <c r="E22" s="11">
        <f>SUMIF(Dataset!$A:$A,Task_2!$A22,Dataset!T:T)</f>
        <v>-1</v>
      </c>
      <c r="F22" s="11">
        <f>SUMIF(Dataset!$A:$A,Task_2!$A22,Dataset!V:V)</f>
        <v>-1</v>
      </c>
    </row>
    <row r="23" spans="1:6" ht="15" x14ac:dyDescent="0.25">
      <c r="A23" s="7" t="s">
        <v>31</v>
      </c>
      <c r="B23" s="11">
        <f>SUMIF(Dataset!$A:$A,Task_2!$A23,Dataset!G:G)</f>
        <v>45</v>
      </c>
      <c r="C23" s="11">
        <f>SUMIF(Dataset!$A:$A,Task_2!$A23,Dataset!N:N)</f>
        <v>133.4</v>
      </c>
      <c r="D23" s="11">
        <f>SUMIF(Dataset!$A:$A,Task_2!$A23,Dataset!R:R)</f>
        <v>79.400000000000006</v>
      </c>
      <c r="E23" s="11">
        <f>SUMIF(Dataset!$A:$A,Task_2!$A23,Dataset!T:T)</f>
        <v>160.9</v>
      </c>
      <c r="F23" s="11">
        <f>SUMIF(Dataset!$A:$A,Task_2!$A23,Dataset!V:V)</f>
        <v>79.400000000000006</v>
      </c>
    </row>
    <row r="24" spans="1:6" ht="15" x14ac:dyDescent="0.25">
      <c r="A24" s="7" t="s">
        <v>32</v>
      </c>
      <c r="B24" s="11">
        <f>SUMIF(Dataset!$A:$A,Task_2!$A24,Dataset!G:G)</f>
        <v>-1</v>
      </c>
      <c r="C24" s="11">
        <f>SUMIF(Dataset!$A:$A,Task_2!$A24,Dataset!N:N)</f>
        <v>-1</v>
      </c>
      <c r="D24" s="11">
        <f>SUMIF(Dataset!$A:$A,Task_2!$A24,Dataset!R:R)</f>
        <v>-1</v>
      </c>
      <c r="E24" s="11">
        <f>SUMIF(Dataset!$A:$A,Task_2!$A24,Dataset!T:T)</f>
        <v>-1</v>
      </c>
      <c r="F24" s="11">
        <f>SUMIF(Dataset!$A:$A,Task_2!$A24,Dataset!V:V)</f>
        <v>-1</v>
      </c>
    </row>
    <row r="25" spans="1:6" ht="15" x14ac:dyDescent="0.25">
      <c r="A25" s="7" t="s">
        <v>34</v>
      </c>
      <c r="B25" s="11">
        <f>SUMIF(Dataset!$A:$A,Task_2!$A25,Dataset!G:G)</f>
        <v>43.3</v>
      </c>
      <c r="C25" s="11">
        <f>SUMIF(Dataset!$A:$A,Task_2!$A25,Dataset!N:N)</f>
        <v>128.6</v>
      </c>
      <c r="D25" s="11">
        <f>SUMIF(Dataset!$A:$A,Task_2!$A25,Dataset!R:R)</f>
        <v>79.400000000000006</v>
      </c>
      <c r="E25" s="11">
        <f>SUMIF(Dataset!$A:$A,Task_2!$A25,Dataset!T:T)</f>
        <v>160.9</v>
      </c>
      <c r="F25" s="11">
        <f>SUMIF(Dataset!$A:$A,Task_2!$A25,Dataset!V:V)</f>
        <v>79.400000000000006</v>
      </c>
    </row>
    <row r="26" spans="1:6" ht="15" x14ac:dyDescent="0.25">
      <c r="A26" s="7" t="s">
        <v>37</v>
      </c>
      <c r="B26" s="11">
        <f>SUMIF(Dataset!$A:$A,Task_2!$A26,Dataset!G:G)</f>
        <v>49.1</v>
      </c>
      <c r="C26" s="11">
        <f>SUMIF(Dataset!$A:$A,Task_2!$A26,Dataset!N:N)</f>
        <v>146.80000000000001</v>
      </c>
      <c r="D26" s="11">
        <f>SUMIF(Dataset!$A:$A,Task_2!$A26,Dataset!R:R)</f>
        <v>90.9</v>
      </c>
      <c r="E26" s="11">
        <f>SUMIF(Dataset!$A:$A,Task_2!$A26,Dataset!T:T)</f>
        <v>183.5</v>
      </c>
      <c r="F26" s="11">
        <f>SUMIF(Dataset!$A:$A,Task_2!$A26,Dataset!V:V)</f>
        <v>90.9</v>
      </c>
    </row>
    <row r="27" spans="1:6" ht="15" x14ac:dyDescent="0.25">
      <c r="A27" s="7" t="s">
        <v>39</v>
      </c>
      <c r="B27" s="11">
        <f>SUMIF(Dataset!$A:$A,Task_2!$A27,Dataset!G:G)</f>
        <v>51.8</v>
      </c>
      <c r="C27" s="11">
        <f>SUMIF(Dataset!$A:$A,Task_2!$A27,Dataset!N:N)</f>
        <v>156.4</v>
      </c>
      <c r="D27" s="11">
        <f>SUMIF(Dataset!$A:$A,Task_2!$A27,Dataset!R:R)</f>
        <v>93.1</v>
      </c>
      <c r="E27" s="11">
        <f>SUMIF(Dataset!$A:$A,Task_2!$A27,Dataset!T:T)</f>
        <v>188.1</v>
      </c>
      <c r="F27" s="11">
        <f>SUMIF(Dataset!$A:$A,Task_2!$A27,Dataset!V:V)</f>
        <v>93.1</v>
      </c>
    </row>
    <row r="28" spans="1:6" ht="15" x14ac:dyDescent="0.25">
      <c r="A28" s="18" t="s">
        <v>82</v>
      </c>
      <c r="B28" s="11">
        <f>MIN(B6:B27)</f>
        <v>-1</v>
      </c>
      <c r="C28" s="11">
        <f t="shared" ref="C28:F28" si="0">MIN(C6:C27)</f>
        <v>-1</v>
      </c>
      <c r="D28" s="11">
        <f t="shared" si="0"/>
        <v>-1</v>
      </c>
      <c r="E28" s="11">
        <f t="shared" si="0"/>
        <v>-1</v>
      </c>
      <c r="F28" s="11">
        <f t="shared" si="0"/>
        <v>-1</v>
      </c>
    </row>
    <row r="29" spans="1:6" ht="15" x14ac:dyDescent="0.25">
      <c r="A29" s="18" t="s">
        <v>83</v>
      </c>
      <c r="B29" s="11">
        <f>MAX(B6:B27)</f>
        <v>51.8</v>
      </c>
      <c r="C29" s="11">
        <f t="shared" ref="C29:F29" si="1">MAX(C6:C27)</f>
        <v>156.4</v>
      </c>
      <c r="D29" s="11">
        <f t="shared" si="1"/>
        <v>93.1</v>
      </c>
      <c r="E29" s="11">
        <f t="shared" si="1"/>
        <v>188.1</v>
      </c>
      <c r="F29" s="11">
        <f t="shared" si="1"/>
        <v>93.1</v>
      </c>
    </row>
    <row r="30" spans="1:6" ht="15" x14ac:dyDescent="0.25">
      <c r="A30" s="18" t="s">
        <v>84</v>
      </c>
      <c r="B30" s="11">
        <f>AVERAGE(B6:B27)</f>
        <v>20.827272727272728</v>
      </c>
      <c r="C30" s="11">
        <f t="shared" ref="C30:F30" si="2">AVERAGE(C6:C27)</f>
        <v>62.377272727272725</v>
      </c>
      <c r="D30" s="11">
        <f t="shared" si="2"/>
        <v>37.800000000000004</v>
      </c>
      <c r="E30" s="11">
        <f t="shared" si="2"/>
        <v>76.418181818181822</v>
      </c>
      <c r="F30" s="1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16" sqref="B1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177</v>
      </c>
    </row>
    <row r="6" spans="1:10" ht="18.75" x14ac:dyDescent="0.3">
      <c r="A6" s="42" t="s">
        <v>153</v>
      </c>
      <c r="B6" s="39" t="s">
        <v>178</v>
      </c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D13" sqref="D13"/>
    </sheetView>
  </sheetViews>
  <sheetFormatPr defaultColWidth="11" defaultRowHeight="12.75" x14ac:dyDescent="0.2"/>
  <cols>
    <col min="1" max="1" width="28.1640625" style="2" bestFit="1" customWidth="1"/>
    <col min="2" max="2" width="37.33203125" style="2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1" t="s">
        <v>85</v>
      </c>
      <c r="B1" s="40" t="s">
        <v>167</v>
      </c>
    </row>
    <row r="2" spans="1:4" ht="18.75" x14ac:dyDescent="0.3">
      <c r="B2" s="39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44" t="s">
        <v>179</v>
      </c>
    </row>
    <row r="7" spans="1:4" ht="15" x14ac:dyDescent="0.25">
      <c r="A7" s="3" t="s">
        <v>153</v>
      </c>
      <c r="B7" s="1" t="s">
        <v>180</v>
      </c>
    </row>
    <row r="10" spans="1:4" ht="23.25" x14ac:dyDescent="0.35">
      <c r="A10" s="17" t="s">
        <v>162</v>
      </c>
    </row>
    <row r="11" spans="1:4" ht="15" x14ac:dyDescent="0.25">
      <c r="A11" s="31" t="s">
        <v>86</v>
      </c>
      <c r="B11" s="16" t="s">
        <v>87</v>
      </c>
      <c r="C11" s="16" t="s">
        <v>88</v>
      </c>
    </row>
    <row r="12" spans="1:4" ht="15" x14ac:dyDescent="0.25">
      <c r="A12" s="31">
        <v>44927</v>
      </c>
      <c r="B12" s="16" t="s">
        <v>59</v>
      </c>
      <c r="C12" s="16">
        <v>200</v>
      </c>
      <c r="D12" s="2">
        <f>IFERROR(C12,20)</f>
        <v>200</v>
      </c>
    </row>
    <row r="13" spans="1:4" ht="15" x14ac:dyDescent="0.25">
      <c r="A13" s="31">
        <v>44928</v>
      </c>
      <c r="B13" s="16" t="s">
        <v>60</v>
      </c>
      <c r="C13" s="16" t="e">
        <v>#N/A</v>
      </c>
      <c r="D13" s="2">
        <f t="shared" ref="D13:D21" si="0">IFERROR(C13,20)</f>
        <v>20</v>
      </c>
    </row>
    <row r="14" spans="1:4" ht="15" x14ac:dyDescent="0.25">
      <c r="A14" s="31">
        <v>44929</v>
      </c>
      <c r="B14" s="16" t="s">
        <v>61</v>
      </c>
      <c r="C14" s="16">
        <v>50</v>
      </c>
      <c r="D14" s="2">
        <f t="shared" si="0"/>
        <v>50</v>
      </c>
    </row>
    <row r="15" spans="1:4" ht="15" x14ac:dyDescent="0.25">
      <c r="A15" s="31">
        <v>44930</v>
      </c>
      <c r="B15" s="16" t="s">
        <v>62</v>
      </c>
      <c r="C15" s="16" t="e">
        <v>#N/A</v>
      </c>
      <c r="D15" s="2">
        <f t="shared" si="0"/>
        <v>20</v>
      </c>
    </row>
    <row r="16" spans="1:4" ht="15" x14ac:dyDescent="0.25">
      <c r="A16" s="31">
        <v>44931</v>
      </c>
      <c r="B16" s="16" t="s">
        <v>63</v>
      </c>
      <c r="C16" s="16">
        <v>10</v>
      </c>
      <c r="D16" s="2">
        <f t="shared" si="0"/>
        <v>10</v>
      </c>
    </row>
    <row r="17" spans="1:4" ht="15" x14ac:dyDescent="0.25">
      <c r="A17" s="31">
        <v>44932</v>
      </c>
      <c r="B17" s="16" t="s">
        <v>154</v>
      </c>
      <c r="C17" s="16">
        <v>150</v>
      </c>
      <c r="D17" s="2">
        <f t="shared" si="0"/>
        <v>150</v>
      </c>
    </row>
    <row r="18" spans="1:4" ht="15" x14ac:dyDescent="0.25">
      <c r="A18" s="31">
        <v>44933</v>
      </c>
      <c r="B18" s="16" t="s">
        <v>155</v>
      </c>
      <c r="C18" s="16">
        <v>80</v>
      </c>
      <c r="D18" s="2">
        <f t="shared" si="0"/>
        <v>80</v>
      </c>
    </row>
    <row r="19" spans="1:4" ht="15" x14ac:dyDescent="0.25">
      <c r="A19" s="31">
        <v>44934</v>
      </c>
      <c r="B19" s="16" t="s">
        <v>156</v>
      </c>
      <c r="C19" s="16" t="e">
        <v>#N/A</v>
      </c>
      <c r="D19" s="2">
        <f t="shared" si="0"/>
        <v>20</v>
      </c>
    </row>
    <row r="20" spans="1:4" ht="15" x14ac:dyDescent="0.25">
      <c r="A20" s="31">
        <v>44935</v>
      </c>
      <c r="B20" s="16" t="s">
        <v>157</v>
      </c>
      <c r="C20" s="16">
        <v>30</v>
      </c>
      <c r="D20" s="2">
        <f t="shared" si="0"/>
        <v>30</v>
      </c>
    </row>
    <row r="21" spans="1:4" ht="15" x14ac:dyDescent="0.25">
      <c r="A21" s="31">
        <v>44936</v>
      </c>
      <c r="B21" s="16" t="s">
        <v>158</v>
      </c>
      <c r="C21" s="16" t="e">
        <v>#N/A</v>
      </c>
      <c r="D21" s="2">
        <f t="shared" si="0"/>
        <v>20</v>
      </c>
    </row>
    <row r="22" spans="1:4" ht="15" x14ac:dyDescent="0.25">
      <c r="B22" s="16" t="s">
        <v>159</v>
      </c>
      <c r="C22" s="24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21" zoomScaleNormal="100" workbookViewId="0">
      <selection activeCell="B5" sqref="B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  <c r="C4" s="2" t="s">
        <v>181</v>
      </c>
    </row>
    <row r="5" spans="1:14" ht="18.75" x14ac:dyDescent="0.3">
      <c r="A5" s="42" t="s">
        <v>153</v>
      </c>
      <c r="B5" s="46" t="s">
        <v>182</v>
      </c>
    </row>
    <row r="6" spans="1:14" ht="15" x14ac:dyDescent="0.25">
      <c r="A6" s="3"/>
      <c r="B6" s="1"/>
    </row>
    <row r="8" spans="1:14" ht="23.25" x14ac:dyDescent="0.35">
      <c r="A8" s="45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3">
        <f>INDEX($A$9:$J$18, MATCH(VLOOKUP(A23, $M$9:$N$18, 2, 0), $A$9:$A$18, 0),MATCH(VLOOKUP(B23, $M$9:$N$18, 2, 0), $A$9:$J$9, 0))</f>
        <v>95</v>
      </c>
    </row>
    <row r="24" spans="1:14" ht="15" x14ac:dyDescent="0.25">
      <c r="A24" s="7">
        <v>10100</v>
      </c>
      <c r="B24" s="11">
        <v>10104</v>
      </c>
      <c r="C24" s="43">
        <f t="shared" ref="C24:C34" si="0">INDEX($A$9:$J$18, MATCH(VLOOKUP(A24, $M$9:$N$18, 2, 0), $A$9:$A$18, 0),MATCH(VLOOKUP(B24, $M$9:$N$18, 2, 0), $A$9:$J$9, 0))</f>
        <v>-1</v>
      </c>
    </row>
    <row r="25" spans="1:14" ht="15" x14ac:dyDescent="0.25">
      <c r="A25" s="7">
        <v>10108</v>
      </c>
      <c r="B25" s="11">
        <v>10102</v>
      </c>
      <c r="C25" s="43">
        <f t="shared" si="0"/>
        <v>160</v>
      </c>
    </row>
    <row r="26" spans="1:14" ht="15" x14ac:dyDescent="0.25">
      <c r="A26" s="7">
        <v>10100</v>
      </c>
      <c r="B26" s="11">
        <v>10106</v>
      </c>
      <c r="C26" s="43">
        <f t="shared" si="0"/>
        <v>185</v>
      </c>
    </row>
    <row r="27" spans="1:14" ht="15" x14ac:dyDescent="0.25">
      <c r="A27" s="7">
        <v>10108</v>
      </c>
      <c r="B27" s="11">
        <v>10110</v>
      </c>
      <c r="C27" s="43">
        <f t="shared" si="0"/>
        <v>50</v>
      </c>
    </row>
    <row r="28" spans="1:14" ht="15" x14ac:dyDescent="0.25">
      <c r="A28" s="7">
        <v>10102</v>
      </c>
      <c r="B28" s="11">
        <v>10104</v>
      </c>
      <c r="C28" s="43">
        <f t="shared" si="0"/>
        <v>-1</v>
      </c>
    </row>
    <row r="29" spans="1:14" ht="15" x14ac:dyDescent="0.25">
      <c r="A29" s="7">
        <v>10106</v>
      </c>
      <c r="B29" s="11">
        <v>10108</v>
      </c>
      <c r="C29" s="43">
        <f t="shared" si="0"/>
        <v>70</v>
      </c>
    </row>
    <row r="30" spans="1:14" ht="15" x14ac:dyDescent="0.25">
      <c r="A30" s="7">
        <v>10102</v>
      </c>
      <c r="B30" s="11">
        <v>10106</v>
      </c>
      <c r="C30" s="43">
        <f t="shared" si="0"/>
        <v>90</v>
      </c>
    </row>
    <row r="31" spans="1:14" ht="15" x14ac:dyDescent="0.25">
      <c r="A31" s="7">
        <v>10110</v>
      </c>
      <c r="B31" s="11">
        <v>10114</v>
      </c>
      <c r="C31" s="43">
        <f t="shared" si="0"/>
        <v>180</v>
      </c>
    </row>
    <row r="32" spans="1:14" ht="15" x14ac:dyDescent="0.25">
      <c r="A32" s="7">
        <v>10104</v>
      </c>
      <c r="B32" s="11">
        <v>10106</v>
      </c>
      <c r="C32" s="43">
        <f t="shared" si="0"/>
        <v>60</v>
      </c>
    </row>
    <row r="33" spans="1:3" ht="15" x14ac:dyDescent="0.25">
      <c r="A33" s="7">
        <v>10110</v>
      </c>
      <c r="B33" s="11">
        <v>10112</v>
      </c>
      <c r="C33" s="43">
        <f t="shared" si="0"/>
        <v>115</v>
      </c>
    </row>
    <row r="34" spans="1:3" ht="15" x14ac:dyDescent="0.25">
      <c r="A34" s="7">
        <v>10100</v>
      </c>
      <c r="B34" s="11">
        <v>10114</v>
      </c>
      <c r="C34" s="43">
        <f t="shared" si="0"/>
        <v>480</v>
      </c>
    </row>
    <row r="35" spans="1:3" ht="15" x14ac:dyDescent="0.25">
      <c r="A35" s="8">
        <v>10112</v>
      </c>
      <c r="B35" s="12">
        <v>10116</v>
      </c>
      <c r="C35" s="43">
        <f>INDEX($A$9:$J$18, MATCH(VLOOKUP(A35, $M$9:$N$18, 2, 0), $A$9:$A$18, 0),MATCH(VLOOKUP(B35, $M$9:$N$18, 2, 0), $A$9:$J$9, 0))</f>
        <v>105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user</cp:lastModifiedBy>
  <dcterms:created xsi:type="dcterms:W3CDTF">2015-02-10T17:33:11Z</dcterms:created>
  <dcterms:modified xsi:type="dcterms:W3CDTF">2023-12-10T15:00:12Z</dcterms:modified>
</cp:coreProperties>
</file>